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SPRINT" sheetId="2" r:id="rId5"/>
    <sheet state="visible" name="BURDONCHART" sheetId="3" r:id="rId6"/>
  </sheets>
  <definedNames/>
  <calcPr/>
</workbook>
</file>

<file path=xl/sharedStrings.xml><?xml version="1.0" encoding="utf-8"?>
<sst xmlns="http://schemas.openxmlformats.org/spreadsheetml/2006/main" count="174" uniqueCount="115">
  <si>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</si>
  <si>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</si>
  <si>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</si>
  <si>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</si>
  <si>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</si>
  <si>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</si>
  <si>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</si>
  <si>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</si>
  <si>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SPRINT 1</t>
  </si>
  <si>
    <t>REQ001</t>
  </si>
  <si>
    <t>Ingreso y autenticacion del administrador</t>
  </si>
  <si>
    <t>Administrador</t>
  </si>
  <si>
    <t>Ingresar al sistema de forma controlada</t>
  </si>
  <si>
    <t>Asegurar que el administrador sea el unico que pueda ingresar al sistema</t>
  </si>
  <si>
    <t>Alta</t>
  </si>
  <si>
    <t>No Iniciado</t>
  </si>
  <si>
    <t>REQ002</t>
  </si>
  <si>
    <t>Cargar las plantillas de los Contratos al sistema</t>
  </si>
  <si>
    <t>Administrador Fiduciario de FIDEVAL</t>
  </si>
  <si>
    <t>Inplementar una funcionalidad en el módulo de administración que permita subir archivos y almacenarlos de forma local y en la red compartida de FIDEVA.</t>
  </si>
  <si>
    <t>Estandarizar los Contratos de los diferentes Tipos de Fideicomisos, y agilizar la generación de documentos.</t>
  </si>
  <si>
    <t>REQ003</t>
  </si>
  <si>
    <t>Modificación de plantillas</t>
  </si>
  <si>
    <t>Administrador y asistente</t>
  </si>
  <si>
    <t>Crear la funcionalidad para cargar y seleccionar documentos utilizando las plantillas de FIDEVAL.</t>
  </si>
  <si>
    <t>Homologar la apariencia y seleccion de los contratos emitidos por FIDEVAL.</t>
  </si>
  <si>
    <t>REQ004</t>
  </si>
  <si>
    <t>Exportacion de Contratos</t>
  </si>
  <si>
    <t>Poder exportar el contrato en diferentes formatos</t>
  </si>
  <si>
    <t>Exportar la informacion del contrato para su impresion en fisico.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</si>
  <si>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</si>
  <si>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</si>
  <si>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</si>
  <si>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</si>
  <si>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</si>
  <si>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</si>
  <si>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</si>
  <si>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</si>
  <si>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</si>
  <si>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una interfaz que permita al administrador ingresar sus datos</t>
  </si>
  <si>
    <t>Luis Calle</t>
  </si>
  <si>
    <t>REQ001-2</t>
  </si>
  <si>
    <t>Almacenamiento de inicio de sesión en base de datos.</t>
  </si>
  <si>
    <t>REQ001-3</t>
  </si>
  <si>
    <t>Validación de inicio de sesión en la base de datos</t>
  </si>
  <si>
    <t>REQ002-1</t>
  </si>
  <si>
    <t>Infraestructura y Almacenamiento</t>
  </si>
  <si>
    <t>Kevin Andino</t>
  </si>
  <si>
    <t>REQ002-2</t>
  </si>
  <si>
    <t>Interfaz de Usuario (Módulo de Administración)</t>
  </si>
  <si>
    <t>REQ002-3</t>
  </si>
  <si>
    <t>Procesamiento y Estandarización</t>
  </si>
  <si>
    <t>REQ002-4</t>
  </si>
  <si>
    <t>Validación y Restricciones (Seguridad)</t>
  </si>
  <si>
    <t>Modificación de Plantillas</t>
  </si>
  <si>
    <t xml:space="preserve">Administrador </t>
  </si>
  <si>
    <t>Los documentos generados incluyan el formato y logo aprobado</t>
  </si>
  <si>
    <t>Homologar la apariencia de los contratos y documentos emitidos</t>
  </si>
  <si>
    <t>REQ003-1</t>
  </si>
  <si>
    <t>Generar contrato de fideicomiso usando la plantilla cargada.</t>
  </si>
  <si>
    <t>Paulina Quishpe</t>
  </si>
  <si>
    <t>REQ003-2</t>
  </si>
  <si>
    <t>Ajustar y homologar los formatos para cumplir requisitos de presentación.</t>
  </si>
  <si>
    <t>REQ003-3</t>
  </si>
  <si>
    <t>Documentar el procedimiento para la homologación de plantillas.</t>
  </si>
  <si>
    <t>REQ003-4</t>
  </si>
  <si>
    <t>Coordinar con áreas responsables para obtener las plantillas finales y el logo aprobado.</t>
  </si>
  <si>
    <t>REQ004-1</t>
  </si>
  <si>
    <t>Obtener y Modelar Datos</t>
  </si>
  <si>
    <t>Madellyn Tasipanta</t>
  </si>
  <si>
    <t>REQ004-2</t>
  </si>
  <si>
    <t>Integrar Librería de Generación de PDF</t>
  </si>
  <si>
    <t>REQ004-3</t>
  </si>
  <si>
    <t>Integrar Librería de Generación de Excel</t>
  </si>
  <si>
    <t>REQ004-4</t>
  </si>
  <si>
    <t>Crear el Endpoint de Exportación (Backend)</t>
  </si>
  <si>
    <t>Día 30</t>
  </si>
  <si>
    <t>Día 29</t>
  </si>
  <si>
    <t>Día 28</t>
  </si>
  <si>
    <t>Día 27</t>
  </si>
  <si>
    <t>Día 26</t>
  </si>
  <si>
    <t>Día 25</t>
  </si>
  <si>
    <t>Día 24</t>
  </si>
  <si>
    <t>Día 23</t>
  </si>
  <si>
    <t>Día 22</t>
  </si>
  <si>
    <t>Día 21</t>
  </si>
  <si>
    <t>Día 20</t>
  </si>
  <si>
    <t>Día 19</t>
  </si>
  <si>
    <t>Día 18</t>
  </si>
  <si>
    <t>Día17</t>
  </si>
  <si>
    <t>Día 16</t>
  </si>
  <si>
    <t>Día 15</t>
  </si>
  <si>
    <t>Día 14</t>
  </si>
  <si>
    <t>Día 13</t>
  </si>
  <si>
    <t>Día 12</t>
  </si>
  <si>
    <t>Día 11</t>
  </si>
  <si>
    <t>Día 10</t>
  </si>
  <si>
    <t>Día 9</t>
  </si>
  <si>
    <t>Día 8</t>
  </si>
  <si>
    <t>Día 7</t>
  </si>
  <si>
    <t>Día 6</t>
  </si>
  <si>
    <t>Dia 5</t>
  </si>
  <si>
    <t>Dia 4</t>
  </si>
  <si>
    <t>Dia 3</t>
  </si>
  <si>
    <t>Dia 2</t>
  </si>
  <si>
    <t>Dia 1</t>
  </si>
  <si>
    <t>Total de Horas</t>
  </si>
  <si>
    <t>REQ005-1</t>
  </si>
  <si>
    <t>REQ005-2</t>
  </si>
  <si>
    <t>REQ006-1</t>
  </si>
  <si>
    <t>REQ007-1</t>
  </si>
  <si>
    <t>REQ007-2</t>
  </si>
  <si>
    <t>REQ008-1</t>
  </si>
  <si>
    <t>Horas Estimadas</t>
  </si>
  <si>
    <t>Horas Estimadas
Restantes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</si>
</sst>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b/>
      <sz val="10.0"/>
      <color rgb="FF2F5496"/>
      <name val="Arial"/>
    </font>
    <font>
      <sz val="10.0"/>
      <color rgb="FF2F5496"/>
      <name val="Arial"/>
    </font>
    <font>
      <sz val="10.0"/>
      <color rgb="FF0070C0"/>
      <name val="Arial"/>
    </font>
    <font>
      <sz val="10.0"/>
      <color rgb="FF2E75B5"/>
      <name val="Arial"/>
    </font>
    <font>
      <b/>
      <sz val="10.0"/>
      <color rgb="FF2E75B5"/>
      <name val="Arial"/>
    </font>
    <font>
      <b/>
      <sz val="10.0"/>
      <color theme="1"/>
      <name val="Arial"/>
    </font>
    <font>
      <color theme="1"/>
      <name val="Arial"/>
      <scheme val="minor"/>
    </font>
    <font>
      <sz val="11.0"/>
      <color rgb="FF0070C0"/>
      <name val="Arial"/>
      <scheme val="minor"/>
    </font>
    <font>
      <sz val="12.0"/>
      <color rgb="FF0070C0"/>
      <name val="FkGroteskNeue"/>
    </font>
    <font>
      <color theme="1"/>
      <name val="Arial"/>
    </font>
    <font>
      <sz val="10.0"/>
      <color theme="1"/>
      <name val="Arial"/>
    </font>
    <font>
      <sz val="11.0"/>
      <color theme="1"/>
      <name val="Arial"/>
      <scheme val="minor"/>
    </font>
    <font>
      <sz val="10.0"/>
      <color rgb="FF0000FF"/>
      <name val="Arial"/>
    </font>
    <font>
      <sz val="10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shrinkToFit="0" wrapText="1"/>
    </xf>
    <xf borderId="0" fillId="0" fontId="8" numFmtId="0" xfId="0" applyAlignment="1" applyFont="1">
      <alignment horizontal="center"/>
    </xf>
    <xf borderId="1" fillId="2" fontId="5" numFmtId="0" xfId="0" applyBorder="1" applyFill="1" applyFont="1"/>
    <xf borderId="0" fillId="2" fontId="5" numFmtId="0" xfId="0" applyAlignment="1" applyFont="1">
      <alignment readingOrder="0"/>
    </xf>
    <xf borderId="0" fillId="2" fontId="5" numFmtId="0" xfId="0" applyFont="1"/>
    <xf borderId="1" fillId="2" fontId="5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2" fontId="9" numFmtId="0" xfId="0" applyFont="1"/>
    <xf borderId="0" fillId="0" fontId="9" numFmtId="0" xfId="0" applyAlignment="1" applyFont="1">
      <alignment readingOrder="0"/>
    </xf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13" numFmtId="0" xfId="0" applyFont="1"/>
    <xf borderId="1" fillId="3" fontId="13" numFmtId="0" xfId="0" applyBorder="1" applyFill="1" applyFont="1"/>
    <xf borderId="0" fillId="0" fontId="15" numFmtId="0" xfId="0" applyFont="1"/>
    <xf borderId="1" fillId="4" fontId="13" numFmtId="0" xfId="0" applyAlignment="1" applyBorder="1" applyFill="1" applyFont="1">
      <alignment horizontal="right"/>
    </xf>
    <xf borderId="0" fillId="0" fontId="13" numFmtId="0" xfId="0" applyAlignment="1" applyFont="1">
      <alignment horizontal="right"/>
    </xf>
    <xf borderId="1" fillId="5" fontId="13" numFmtId="0" xfId="0" applyAlignment="1" applyBorder="1" applyFill="1" applyFont="1">
      <alignment horizontal="right"/>
    </xf>
    <xf borderId="0" fillId="0" fontId="9" numFmtId="0" xfId="0" applyFont="1"/>
    <xf borderId="1" fillId="5" fontId="13" numFmtId="0" xfId="0" applyAlignment="1" applyBorder="1" applyFont="1">
      <alignment horizontal="right"/>
    </xf>
    <xf borderId="0" fillId="0" fontId="9" numFmtId="0" xfId="0" applyFont="1"/>
    <xf borderId="1" fillId="6" fontId="13" numFmtId="0" xfId="0" applyBorder="1" applyFill="1" applyFont="1"/>
    <xf borderId="0" fillId="0" fontId="13" numFmtId="164" xfId="0" applyFont="1" applyNumberFormat="1"/>
    <xf borderId="1" fillId="5" fontId="13" numFmtId="164" xfId="0" applyAlignment="1" applyBorder="1" applyFont="1" applyNumberFormat="1">
      <alignment horizontal="right"/>
    </xf>
    <xf borderId="0" fillId="0" fontId="16" numFmtId="0" xfId="0" applyFont="1"/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BURDONCHART-style">
      <tableStyleElement dxfId="1" type="headerRow"/>
      <tableStyleElement dxfId="2" type="firstRowStripe"/>
      <tableStyleElement dxfId="3" type="secondRowStripe"/>
    </tableStyle>
    <tableStyle count="2" pivot="0" name="BURDONCHAR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REQUERIMIENTOS</a:t>
            </a:r>
          </a:p>
        </c:rich>
      </c:tx>
      <c:layout>
        <c:manualLayout>
          <c:xMode val="edge"/>
          <c:yMode val="edge"/>
          <c:x val="0.7622919097729608"/>
          <c:y val="0.04220840649971477"/>
        </c:manualLayout>
      </c:layout>
      <c:overlay val="0"/>
    </c:title>
    <c:plotArea>
      <c:layout>
        <c:manualLayout>
          <c:xMode val="edge"/>
          <c:yMode val="edge"/>
          <c:x val="0.04155817134642405"/>
          <c:y val="0.01642101822511425"/>
          <c:w val="0.9319179027855163"/>
          <c:h val="0.7618268406058164"/>
        </c:manualLayout>
      </c:layout>
      <c:lineChart>
        <c:ser>
          <c:idx val="0"/>
          <c:order val="0"/>
          <c:tx>
            <c:v>Horas Estimadas</c:v>
          </c:tx>
          <c:spPr>
            <a:ln cmpd="sng" w="28575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BURDONCHART!$C$28:$AG$28</c:f>
              <c:numCache/>
            </c:numRef>
          </c:val>
          <c:smooth val="0"/>
        </c:ser>
        <c:ser>
          <c:idx val="1"/>
          <c:order val="1"/>
          <c:tx>
            <c:v>Horas Estimadas
Restantes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BURDONCHART!$C$29:$AG$29</c:f>
              <c:numCache/>
            </c:numRef>
          </c:val>
          <c:smooth val="0"/>
        </c:ser>
        <c:axId val="1054366153"/>
        <c:axId val="1768406452"/>
      </c:lineChart>
      <c:catAx>
        <c:axId val="10543661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68406452"/>
      </c:catAx>
      <c:valAx>
        <c:axId val="17684064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5436615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238125</xdr:colOff>
      <xdr:row>31</xdr:row>
      <xdr:rowOff>19050</xdr:rowOff>
    </xdr:from>
    <xdr:ext cx="8096250" cy="41529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H4:AH6" displayName="Table_1" name="Table_1" id="1">
  <tableColumns count="1">
    <tableColumn name="Column1" id="1"/>
  </tableColumns>
  <tableStyleInfo name="BURDONCHART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H8:AH10" displayName="Table_2" name="Table_2" id="2">
  <tableColumns count="1">
    <tableColumn name="Column1" id="1"/>
  </tableColumns>
  <tableStyleInfo name="BURDONCHAR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39.63"/>
    <col customWidth="1" min="3" max="3" width="36.0"/>
    <col customWidth="1" min="4" max="4" width="116.5"/>
    <col customWidth="1" min="5" max="5" width="84.25"/>
    <col customWidth="1" min="6" max="26" width="12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 t="s">
        <v>8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9</v>
      </c>
      <c r="B3" s="6" t="s">
        <v>10</v>
      </c>
      <c r="C3" s="5" t="s">
        <v>11</v>
      </c>
      <c r="D3" s="6" t="s">
        <v>12</v>
      </c>
      <c r="E3" s="6" t="s">
        <v>13</v>
      </c>
      <c r="F3" s="5"/>
      <c r="G3" s="5" t="s">
        <v>14</v>
      </c>
      <c r="H3" s="6" t="s">
        <v>15</v>
      </c>
    </row>
    <row r="4" ht="15.75" customHeight="1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5"/>
      <c r="G4" s="6" t="s">
        <v>14</v>
      </c>
      <c r="H4" s="6" t="s">
        <v>15</v>
      </c>
    </row>
    <row r="5" ht="15.0" customHeight="1">
      <c r="A5" s="6" t="s">
        <v>21</v>
      </c>
      <c r="B5" s="6" t="s">
        <v>22</v>
      </c>
      <c r="C5" s="6" t="s">
        <v>23</v>
      </c>
      <c r="D5" s="7" t="s">
        <v>24</v>
      </c>
      <c r="E5" s="6" t="s">
        <v>25</v>
      </c>
      <c r="F5" s="5"/>
      <c r="G5" s="6" t="s">
        <v>14</v>
      </c>
      <c r="H5" s="6" t="s">
        <v>15</v>
      </c>
    </row>
    <row r="6" ht="13.5" customHeight="1">
      <c r="A6" s="6" t="s">
        <v>26</v>
      </c>
      <c r="B6" s="6" t="s">
        <v>27</v>
      </c>
      <c r="C6" s="6" t="s">
        <v>11</v>
      </c>
      <c r="D6" s="6" t="s">
        <v>28</v>
      </c>
      <c r="E6" s="6" t="s">
        <v>29</v>
      </c>
      <c r="F6" s="5"/>
      <c r="G6" s="6" t="s">
        <v>14</v>
      </c>
      <c r="H6" s="6" t="s">
        <v>15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9"/>
    </row>
    <row r="8">
      <c r="A8" s="8"/>
      <c r="B8" s="8"/>
      <c r="C8" s="8"/>
      <c r="D8" s="10"/>
      <c r="E8" s="11"/>
      <c r="F8" s="8"/>
      <c r="G8" s="8"/>
      <c r="H8" s="8"/>
    </row>
    <row r="9" ht="15.75" customHeight="1">
      <c r="A9" s="5"/>
      <c r="B9" s="8"/>
      <c r="C9" s="8"/>
      <c r="D9" s="8"/>
      <c r="E9" s="8"/>
      <c r="F9" s="8"/>
      <c r="G9" s="8"/>
      <c r="H9" s="8"/>
    </row>
    <row r="10" ht="15.75" customHeight="1">
      <c r="A10" s="9"/>
    </row>
    <row r="11" ht="15.75" customHeight="1">
      <c r="A11" s="8"/>
      <c r="B11" s="8"/>
      <c r="C11" s="8"/>
      <c r="D11" s="10"/>
      <c r="E11" s="11"/>
      <c r="F11" s="8"/>
      <c r="G11" s="8"/>
      <c r="H11" s="8"/>
    </row>
    <row r="12" ht="15.75" customHeight="1">
      <c r="A12" s="5"/>
      <c r="B12" s="8"/>
      <c r="C12" s="8"/>
      <c r="D12" s="8"/>
      <c r="E12" s="8"/>
      <c r="F12" s="8"/>
      <c r="G12" s="8"/>
      <c r="H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H2"/>
    <mergeCell ref="A7:H7"/>
    <mergeCell ref="A10:H1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2.5"/>
    <col customWidth="1" min="3" max="3" width="65.88"/>
    <col customWidth="1" min="4" max="4" width="18.63"/>
    <col customWidth="1" min="5" max="5" width="53.63"/>
    <col customWidth="1" min="6" max="6" width="60.38"/>
    <col customWidth="1" min="7" max="7" width="17.13"/>
    <col customWidth="1" min="8" max="26" width="12.5"/>
  </cols>
  <sheetData>
    <row r="1" ht="15.75" customHeight="1"/>
    <row r="2" ht="15.75" customHeight="1"/>
    <row r="3" ht="15.75" customHeight="1">
      <c r="B3" s="12" t="s">
        <v>30</v>
      </c>
      <c r="C3" s="12" t="s">
        <v>1</v>
      </c>
      <c r="D3" s="12" t="s">
        <v>2</v>
      </c>
      <c r="E3" s="12" t="s">
        <v>31</v>
      </c>
      <c r="F3" s="12" t="s">
        <v>32</v>
      </c>
      <c r="G3" s="12" t="s">
        <v>5</v>
      </c>
      <c r="H3" s="12" t="s">
        <v>33</v>
      </c>
      <c r="I3" s="12" t="s">
        <v>34</v>
      </c>
    </row>
    <row r="4" ht="15.75" customHeight="1">
      <c r="A4" s="4"/>
      <c r="B4" s="13" t="s">
        <v>9</v>
      </c>
      <c r="C4" s="14" t="s">
        <v>10</v>
      </c>
      <c r="D4" s="15" t="s">
        <v>11</v>
      </c>
      <c r="E4" s="14" t="s">
        <v>12</v>
      </c>
      <c r="F4" s="14" t="s">
        <v>13</v>
      </c>
      <c r="G4" s="13"/>
      <c r="H4" s="13" t="s">
        <v>14</v>
      </c>
      <c r="I4" s="16" t="s">
        <v>15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17" t="s">
        <v>35</v>
      </c>
      <c r="D5" s="4"/>
      <c r="E5" s="4"/>
      <c r="F5" s="4"/>
      <c r="G5" s="17" t="s">
        <v>36</v>
      </c>
      <c r="H5" s="4"/>
      <c r="I5" s="17" t="s">
        <v>37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 t="s">
        <v>38</v>
      </c>
      <c r="C6" s="18" t="s">
        <v>39</v>
      </c>
      <c r="G6" s="18" t="s">
        <v>40</v>
      </c>
      <c r="H6" s="4"/>
      <c r="I6" s="19">
        <v>4.0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 t="s">
        <v>41</v>
      </c>
      <c r="C7" s="4" t="s">
        <v>42</v>
      </c>
      <c r="G7" s="18" t="s">
        <v>40</v>
      </c>
      <c r="H7" s="4"/>
      <c r="I7" s="19">
        <v>2.0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4" t="s">
        <v>43</v>
      </c>
      <c r="C8" s="4" t="s">
        <v>44</v>
      </c>
      <c r="G8" s="18" t="s">
        <v>40</v>
      </c>
      <c r="H8" s="4"/>
      <c r="I8" s="18">
        <v>2.0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B9" s="12"/>
      <c r="C9" s="12"/>
      <c r="D9" s="12"/>
      <c r="E9" s="12"/>
      <c r="F9" s="12"/>
      <c r="G9" s="12"/>
      <c r="H9" s="12"/>
      <c r="I9" s="12"/>
    </row>
    <row r="10" ht="15.75" customHeight="1"/>
    <row r="11" ht="15.75" customHeight="1">
      <c r="B11" s="16" t="s">
        <v>16</v>
      </c>
      <c r="C11" s="20"/>
      <c r="D11" s="20"/>
      <c r="E11" s="20"/>
      <c r="F11" s="20"/>
      <c r="G11" s="20"/>
      <c r="H11" s="20"/>
      <c r="I11" s="20"/>
    </row>
    <row r="12" ht="15.75" customHeight="1">
      <c r="B12" s="4"/>
      <c r="C12" s="17" t="s">
        <v>35</v>
      </c>
      <c r="D12" s="4"/>
      <c r="E12" s="4"/>
      <c r="F12" s="4"/>
      <c r="G12" s="17" t="s">
        <v>36</v>
      </c>
      <c r="H12" s="4"/>
      <c r="I12" s="17" t="s">
        <v>37</v>
      </c>
    </row>
    <row r="13" ht="15.75" customHeight="1">
      <c r="B13" s="21" t="s">
        <v>45</v>
      </c>
      <c r="C13" s="21" t="s">
        <v>46</v>
      </c>
      <c r="G13" s="21" t="s">
        <v>47</v>
      </c>
      <c r="I13" s="21">
        <v>2.0</v>
      </c>
    </row>
    <row r="14" ht="15.75" customHeight="1">
      <c r="B14" s="21" t="s">
        <v>48</v>
      </c>
      <c r="C14" s="21" t="s">
        <v>49</v>
      </c>
      <c r="G14" s="21" t="s">
        <v>47</v>
      </c>
      <c r="I14" s="21">
        <v>2.0</v>
      </c>
    </row>
    <row r="15" ht="15.75" customHeight="1">
      <c r="B15" s="21" t="s">
        <v>50</v>
      </c>
      <c r="C15" s="21" t="s">
        <v>51</v>
      </c>
      <c r="G15" s="21" t="s">
        <v>47</v>
      </c>
      <c r="I15" s="21">
        <v>3.5</v>
      </c>
    </row>
    <row r="16" ht="15.75" customHeight="1">
      <c r="B16" s="21" t="s">
        <v>52</v>
      </c>
      <c r="C16" s="21" t="s">
        <v>53</v>
      </c>
      <c r="G16" s="21" t="s">
        <v>47</v>
      </c>
      <c r="I16" s="21">
        <v>1.0</v>
      </c>
    </row>
    <row r="17" ht="15.75" customHeight="1">
      <c r="B17" s="14" t="s">
        <v>21</v>
      </c>
      <c r="C17" s="14" t="s">
        <v>54</v>
      </c>
      <c r="D17" s="14" t="s">
        <v>55</v>
      </c>
      <c r="E17" s="22" t="s">
        <v>56</v>
      </c>
      <c r="F17" s="23" t="s">
        <v>57</v>
      </c>
      <c r="G17" s="20"/>
      <c r="H17" s="14" t="s">
        <v>14</v>
      </c>
      <c r="I17" s="14" t="s">
        <v>15</v>
      </c>
    </row>
    <row r="18" ht="15.75" customHeight="1">
      <c r="B18" s="4"/>
      <c r="C18" s="17" t="s">
        <v>35</v>
      </c>
      <c r="D18" s="4"/>
      <c r="E18" s="4"/>
      <c r="F18" s="4"/>
      <c r="G18" s="17" t="s">
        <v>36</v>
      </c>
      <c r="H18" s="4"/>
      <c r="I18" s="17" t="s">
        <v>37</v>
      </c>
    </row>
    <row r="19" ht="15.75" customHeight="1">
      <c r="B19" s="24" t="s">
        <v>58</v>
      </c>
      <c r="C19" s="25" t="s">
        <v>59</v>
      </c>
      <c r="G19" s="21" t="s">
        <v>60</v>
      </c>
      <c r="I19" s="26">
        <v>2.0</v>
      </c>
    </row>
    <row r="20" ht="15.75" customHeight="1">
      <c r="B20" s="24" t="s">
        <v>61</v>
      </c>
      <c r="C20" s="25" t="s">
        <v>62</v>
      </c>
      <c r="G20" s="21" t="s">
        <v>60</v>
      </c>
      <c r="I20" s="21">
        <v>1.0</v>
      </c>
    </row>
    <row r="21" ht="15.75" customHeight="1">
      <c r="B21" s="24" t="s">
        <v>63</v>
      </c>
      <c r="C21" s="25" t="s">
        <v>64</v>
      </c>
      <c r="G21" s="21" t="s">
        <v>60</v>
      </c>
      <c r="I21" s="21">
        <v>1.0</v>
      </c>
    </row>
    <row r="22" ht="15.75" customHeight="1">
      <c r="B22" s="24" t="s">
        <v>65</v>
      </c>
      <c r="C22" s="25" t="s">
        <v>66</v>
      </c>
      <c r="G22" s="21" t="s">
        <v>60</v>
      </c>
      <c r="I22" s="21">
        <v>2.0</v>
      </c>
    </row>
    <row r="23" ht="15.75" customHeight="1"/>
    <row r="24" ht="15.75" customHeight="1">
      <c r="B24" s="14" t="s">
        <v>26</v>
      </c>
      <c r="C24" s="14" t="s">
        <v>27</v>
      </c>
      <c r="D24" s="14" t="s">
        <v>11</v>
      </c>
      <c r="E24" s="14" t="s">
        <v>28</v>
      </c>
      <c r="F24" s="14" t="s">
        <v>29</v>
      </c>
      <c r="G24" s="15"/>
      <c r="H24" s="14" t="s">
        <v>14</v>
      </c>
      <c r="I24" s="14" t="s">
        <v>15</v>
      </c>
    </row>
    <row r="25" ht="15.75" customHeight="1"/>
    <row r="26" ht="15.75" customHeight="1">
      <c r="B26" s="4"/>
      <c r="C26" s="17" t="s">
        <v>35</v>
      </c>
      <c r="D26" s="4"/>
      <c r="E26" s="4"/>
      <c r="F26" s="4"/>
      <c r="G26" s="17" t="s">
        <v>36</v>
      </c>
      <c r="H26" s="4"/>
      <c r="I26" s="17" t="s">
        <v>37</v>
      </c>
    </row>
    <row r="27" ht="15.75" customHeight="1">
      <c r="B27" s="18" t="s">
        <v>67</v>
      </c>
      <c r="C27" s="21" t="s">
        <v>68</v>
      </c>
      <c r="G27" s="21" t="s">
        <v>69</v>
      </c>
      <c r="I27" s="21">
        <v>3.0</v>
      </c>
    </row>
    <row r="28" ht="15.75" customHeight="1">
      <c r="B28" s="18" t="s">
        <v>70</v>
      </c>
      <c r="C28" s="21" t="s">
        <v>71</v>
      </c>
      <c r="G28" s="21" t="s">
        <v>69</v>
      </c>
      <c r="I28" s="21">
        <v>8.0</v>
      </c>
    </row>
    <row r="29" ht="15.75" customHeight="1">
      <c r="B29" s="18" t="s">
        <v>72</v>
      </c>
      <c r="C29" s="21" t="s">
        <v>73</v>
      </c>
      <c r="G29" s="21" t="s">
        <v>69</v>
      </c>
      <c r="I29" s="21">
        <v>4.0</v>
      </c>
    </row>
    <row r="30" ht="15.75" customHeight="1">
      <c r="B30" s="18" t="s">
        <v>74</v>
      </c>
      <c r="C30" s="21" t="s">
        <v>75</v>
      </c>
      <c r="G30" s="21" t="s">
        <v>69</v>
      </c>
      <c r="I30" s="21">
        <v>6.0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C6:F6"/>
    <mergeCell ref="C7:F7"/>
    <mergeCell ref="C8:F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24.5"/>
    <col customWidth="1" min="3" max="34" width="12.5"/>
  </cols>
  <sheetData>
    <row r="1" ht="15.75" customHeight="1"/>
    <row r="2" ht="15.75" customHeight="1"/>
    <row r="3" ht="15.75" customHeight="1">
      <c r="B3" s="27"/>
      <c r="C3" s="27" t="s">
        <v>37</v>
      </c>
      <c r="D3" s="27" t="s">
        <v>76</v>
      </c>
      <c r="E3" s="27" t="s">
        <v>77</v>
      </c>
      <c r="F3" s="27" t="s">
        <v>78</v>
      </c>
      <c r="G3" s="27" t="s">
        <v>79</v>
      </c>
      <c r="H3" s="27" t="s">
        <v>80</v>
      </c>
      <c r="I3" s="27" t="s">
        <v>81</v>
      </c>
      <c r="J3" s="27" t="s">
        <v>82</v>
      </c>
      <c r="K3" s="27" t="s">
        <v>83</v>
      </c>
      <c r="L3" s="27" t="s">
        <v>84</v>
      </c>
      <c r="M3" s="27" t="s">
        <v>85</v>
      </c>
      <c r="N3" s="27" t="s">
        <v>86</v>
      </c>
      <c r="O3" s="27" t="s">
        <v>87</v>
      </c>
      <c r="P3" s="27" t="s">
        <v>88</v>
      </c>
      <c r="Q3" s="27" t="s">
        <v>89</v>
      </c>
      <c r="R3" s="27" t="s">
        <v>90</v>
      </c>
      <c r="S3" s="27" t="s">
        <v>91</v>
      </c>
      <c r="T3" s="27" t="s">
        <v>92</v>
      </c>
      <c r="U3" s="27" t="s">
        <v>93</v>
      </c>
      <c r="V3" s="27" t="s">
        <v>94</v>
      </c>
      <c r="W3" s="27" t="s">
        <v>95</v>
      </c>
      <c r="X3" s="27" t="s">
        <v>96</v>
      </c>
      <c r="Y3" s="27" t="s">
        <v>97</v>
      </c>
      <c r="Z3" s="27" t="s">
        <v>98</v>
      </c>
      <c r="AA3" s="28" t="s">
        <v>99</v>
      </c>
      <c r="AB3" s="28" t="s">
        <v>100</v>
      </c>
      <c r="AC3" s="28" t="s">
        <v>101</v>
      </c>
      <c r="AD3" s="28" t="s">
        <v>102</v>
      </c>
      <c r="AE3" s="28" t="s">
        <v>103</v>
      </c>
      <c r="AF3" s="28" t="s">
        <v>104</v>
      </c>
      <c r="AG3" s="28" t="s">
        <v>105</v>
      </c>
      <c r="AH3" s="27" t="s">
        <v>106</v>
      </c>
    </row>
    <row r="4" ht="15.75" customHeight="1">
      <c r="B4" s="29" t="s">
        <v>38</v>
      </c>
      <c r="C4" s="30">
        <v>5.0</v>
      </c>
      <c r="D4" s="31">
        <v>0.0</v>
      </c>
      <c r="E4" s="31">
        <v>0.0</v>
      </c>
      <c r="F4" s="31">
        <v>0.0</v>
      </c>
      <c r="G4" s="31">
        <v>0.0</v>
      </c>
      <c r="H4" s="31">
        <v>0.0</v>
      </c>
      <c r="I4" s="31">
        <v>0.0</v>
      </c>
      <c r="J4" s="31">
        <v>0.0</v>
      </c>
      <c r="K4" s="31">
        <v>0.0</v>
      </c>
      <c r="L4" s="31">
        <v>0.0</v>
      </c>
      <c r="M4" s="31">
        <v>0.0</v>
      </c>
      <c r="N4" s="31">
        <v>0.0</v>
      </c>
      <c r="O4" s="31">
        <v>0.0</v>
      </c>
      <c r="P4" s="31">
        <v>0.0</v>
      </c>
      <c r="Q4" s="31">
        <v>0.0</v>
      </c>
      <c r="R4" s="31">
        <v>0.0</v>
      </c>
      <c r="S4" s="31">
        <v>0.0</v>
      </c>
      <c r="T4" s="31">
        <v>0.0</v>
      </c>
      <c r="U4" s="31">
        <v>0.0</v>
      </c>
      <c r="V4" s="31">
        <v>0.0</v>
      </c>
      <c r="W4" s="31">
        <v>0.0</v>
      </c>
      <c r="X4" s="31">
        <v>0.0</v>
      </c>
      <c r="Y4" s="31">
        <v>0.0</v>
      </c>
      <c r="Z4" s="31">
        <v>0.0</v>
      </c>
      <c r="AA4" s="31">
        <v>1.0</v>
      </c>
      <c r="AB4" s="31">
        <v>0.0</v>
      </c>
      <c r="AC4" s="31">
        <v>1.0</v>
      </c>
      <c r="AD4" s="31">
        <v>1.0</v>
      </c>
      <c r="AE4" s="31">
        <v>1.0</v>
      </c>
      <c r="AF4" s="31">
        <v>1.0</v>
      </c>
      <c r="AG4" s="31">
        <v>0.0</v>
      </c>
      <c r="AH4" s="32">
        <f t="shared" ref="AH4:AH6" si="1">SUM(D4:AG4)</f>
        <v>5</v>
      </c>
    </row>
    <row r="5" ht="15.75" customHeight="1">
      <c r="B5" s="29" t="s">
        <v>41</v>
      </c>
      <c r="C5" s="30">
        <v>3.0</v>
      </c>
      <c r="D5" s="31">
        <v>0.0</v>
      </c>
      <c r="E5" s="31">
        <v>0.0</v>
      </c>
      <c r="F5" s="31">
        <v>0.0</v>
      </c>
      <c r="G5" s="31">
        <v>0.0</v>
      </c>
      <c r="H5" s="31">
        <v>0.0</v>
      </c>
      <c r="I5" s="31">
        <v>0.0</v>
      </c>
      <c r="J5" s="31">
        <v>0.0</v>
      </c>
      <c r="K5" s="31">
        <v>0.0</v>
      </c>
      <c r="L5" s="31">
        <v>0.0</v>
      </c>
      <c r="M5" s="31">
        <v>0.0</v>
      </c>
      <c r="N5" s="31">
        <v>0.0</v>
      </c>
      <c r="O5" s="31">
        <v>0.0</v>
      </c>
      <c r="P5" s="31">
        <v>0.0</v>
      </c>
      <c r="Q5" s="31">
        <v>0.0</v>
      </c>
      <c r="R5" s="31">
        <v>0.0</v>
      </c>
      <c r="S5" s="31">
        <v>0.0</v>
      </c>
      <c r="T5" s="31">
        <v>0.0</v>
      </c>
      <c r="U5" s="31">
        <v>0.0</v>
      </c>
      <c r="V5" s="31">
        <v>0.0</v>
      </c>
      <c r="W5" s="31">
        <v>0.0</v>
      </c>
      <c r="X5" s="31">
        <v>0.0</v>
      </c>
      <c r="Y5" s="31">
        <v>0.0</v>
      </c>
      <c r="Z5" s="31">
        <v>0.0</v>
      </c>
      <c r="AA5" s="31">
        <v>1.0</v>
      </c>
      <c r="AB5" s="31">
        <v>1.0</v>
      </c>
      <c r="AC5" s="31">
        <v>0.0</v>
      </c>
      <c r="AD5" s="31">
        <v>0.0</v>
      </c>
      <c r="AE5" s="31">
        <v>1.0</v>
      </c>
      <c r="AF5" s="31">
        <v>0.0</v>
      </c>
      <c r="AG5" s="31">
        <v>0.0</v>
      </c>
      <c r="AH5" s="32">
        <f t="shared" si="1"/>
        <v>3</v>
      </c>
    </row>
    <row r="6" ht="15.75" customHeight="1">
      <c r="A6" s="27"/>
      <c r="B6" s="29" t="s">
        <v>43</v>
      </c>
      <c r="C6" s="30">
        <v>3.0</v>
      </c>
      <c r="D6" s="31">
        <v>0.0</v>
      </c>
      <c r="E6" s="31">
        <v>0.0</v>
      </c>
      <c r="F6" s="31">
        <v>0.0</v>
      </c>
      <c r="G6" s="31">
        <v>0.0</v>
      </c>
      <c r="H6" s="31">
        <v>0.0</v>
      </c>
      <c r="I6" s="31">
        <v>0.0</v>
      </c>
      <c r="J6" s="31">
        <v>0.0</v>
      </c>
      <c r="K6" s="31">
        <v>0.0</v>
      </c>
      <c r="L6" s="31">
        <v>0.0</v>
      </c>
      <c r="M6" s="31">
        <v>0.0</v>
      </c>
      <c r="N6" s="31">
        <v>0.0</v>
      </c>
      <c r="O6" s="31">
        <v>0.0</v>
      </c>
      <c r="P6" s="31">
        <v>0.0</v>
      </c>
      <c r="Q6" s="31">
        <v>0.0</v>
      </c>
      <c r="R6" s="31">
        <v>0.0</v>
      </c>
      <c r="S6" s="31">
        <v>0.0</v>
      </c>
      <c r="T6" s="31">
        <v>0.0</v>
      </c>
      <c r="U6" s="31">
        <v>0.0</v>
      </c>
      <c r="V6" s="31">
        <v>0.0</v>
      </c>
      <c r="W6" s="31">
        <v>0.0</v>
      </c>
      <c r="X6" s="31">
        <v>0.0</v>
      </c>
      <c r="Y6" s="31">
        <v>1.0</v>
      </c>
      <c r="Z6" s="31">
        <v>1.0</v>
      </c>
      <c r="AA6" s="31">
        <v>1.0</v>
      </c>
      <c r="AB6" s="31">
        <v>0.0</v>
      </c>
      <c r="AC6" s="31">
        <v>0.0</v>
      </c>
      <c r="AD6" s="31">
        <v>0.0</v>
      </c>
      <c r="AE6" s="31">
        <v>0.0</v>
      </c>
      <c r="AF6" s="31">
        <v>0.0</v>
      </c>
      <c r="AG6" s="31">
        <v>0.0</v>
      </c>
      <c r="AH6" s="32">
        <f t="shared" si="1"/>
        <v>3</v>
      </c>
    </row>
    <row r="7" ht="15.75" customHeight="1"/>
    <row r="8" ht="15.75" customHeight="1">
      <c r="B8" s="29" t="s">
        <v>45</v>
      </c>
      <c r="C8" s="30">
        <v>5.0</v>
      </c>
      <c r="D8" s="31">
        <v>0.0</v>
      </c>
      <c r="E8" s="31">
        <v>0.0</v>
      </c>
      <c r="F8" s="31">
        <v>0.0</v>
      </c>
      <c r="G8" s="31">
        <v>0.0</v>
      </c>
      <c r="H8" s="31">
        <v>0.0</v>
      </c>
      <c r="I8" s="31">
        <v>0.0</v>
      </c>
      <c r="J8" s="31">
        <v>0.0</v>
      </c>
      <c r="K8" s="31">
        <v>0.0</v>
      </c>
      <c r="L8" s="31">
        <v>0.0</v>
      </c>
      <c r="M8" s="31">
        <v>0.0</v>
      </c>
      <c r="N8" s="31">
        <v>0.0</v>
      </c>
      <c r="O8" s="31">
        <v>0.0</v>
      </c>
      <c r="P8" s="31">
        <v>0.0</v>
      </c>
      <c r="Q8" s="31">
        <v>0.0</v>
      </c>
      <c r="R8" s="31">
        <v>0.0</v>
      </c>
      <c r="S8" s="31">
        <v>0.0</v>
      </c>
      <c r="T8" s="31">
        <v>0.0</v>
      </c>
      <c r="U8" s="31">
        <v>0.0</v>
      </c>
      <c r="V8" s="31">
        <v>0.0</v>
      </c>
      <c r="W8" s="31">
        <v>0.0</v>
      </c>
      <c r="X8" s="31">
        <v>0.0</v>
      </c>
      <c r="Y8" s="31">
        <v>0.0</v>
      </c>
      <c r="Z8" s="31">
        <v>1.0</v>
      </c>
      <c r="AA8" s="31">
        <v>1.0</v>
      </c>
      <c r="AB8" s="31">
        <v>1.0</v>
      </c>
      <c r="AC8" s="31">
        <v>1.0</v>
      </c>
      <c r="AD8" s="31">
        <v>0.0</v>
      </c>
      <c r="AE8" s="31">
        <v>0.0</v>
      </c>
      <c r="AF8" s="31">
        <v>1.0</v>
      </c>
      <c r="AG8" s="31">
        <v>0.0</v>
      </c>
      <c r="AH8" s="32">
        <f t="shared" ref="AH8:AH9" si="2">SUM(D8:AG8)</f>
        <v>5</v>
      </c>
    </row>
    <row r="9" ht="15.75" customHeight="1">
      <c r="B9" s="29" t="s">
        <v>48</v>
      </c>
      <c r="C9" s="30">
        <v>5.0</v>
      </c>
      <c r="D9" s="31">
        <v>0.0</v>
      </c>
      <c r="E9" s="31">
        <v>0.0</v>
      </c>
      <c r="F9" s="31">
        <v>0.0</v>
      </c>
      <c r="G9" s="31">
        <v>0.0</v>
      </c>
      <c r="H9" s="31">
        <v>0.0</v>
      </c>
      <c r="I9" s="31">
        <v>0.0</v>
      </c>
      <c r="J9" s="31">
        <v>0.0</v>
      </c>
      <c r="K9" s="31">
        <v>0.0</v>
      </c>
      <c r="L9" s="31">
        <v>0.0</v>
      </c>
      <c r="M9" s="31">
        <v>0.0</v>
      </c>
      <c r="N9" s="31">
        <v>0.0</v>
      </c>
      <c r="O9" s="31">
        <v>0.0</v>
      </c>
      <c r="P9" s="31">
        <v>0.0</v>
      </c>
      <c r="Q9" s="31">
        <v>0.0</v>
      </c>
      <c r="R9" s="31">
        <v>0.0</v>
      </c>
      <c r="S9" s="31">
        <v>0.0</v>
      </c>
      <c r="T9" s="31">
        <v>0.0</v>
      </c>
      <c r="U9" s="31">
        <v>0.0</v>
      </c>
      <c r="V9" s="31">
        <v>0.0</v>
      </c>
      <c r="W9" s="31">
        <v>0.0</v>
      </c>
      <c r="X9" s="31">
        <v>0.0</v>
      </c>
      <c r="Y9" s="31">
        <v>1.0</v>
      </c>
      <c r="Z9" s="31">
        <v>0.0</v>
      </c>
      <c r="AA9" s="31">
        <v>0.0</v>
      </c>
      <c r="AB9" s="31">
        <v>0.0</v>
      </c>
      <c r="AC9" s="31">
        <v>2.0</v>
      </c>
      <c r="AD9" s="31">
        <v>1.0</v>
      </c>
      <c r="AE9" s="31">
        <v>1.0</v>
      </c>
      <c r="AF9" s="31">
        <v>1.0</v>
      </c>
      <c r="AG9" s="31">
        <v>0.0</v>
      </c>
      <c r="AH9" s="32">
        <f t="shared" si="2"/>
        <v>6</v>
      </c>
    </row>
    <row r="10" ht="15.75" customHeight="1">
      <c r="AH10" s="33"/>
    </row>
    <row r="11" ht="15.75" customHeight="1">
      <c r="B11" s="29" t="s">
        <v>58</v>
      </c>
      <c r="C11" s="30">
        <v>4.0</v>
      </c>
      <c r="D11" s="31">
        <v>0.0</v>
      </c>
      <c r="E11" s="31">
        <v>0.0</v>
      </c>
      <c r="F11" s="31">
        <v>0.0</v>
      </c>
      <c r="G11" s="31">
        <v>0.0</v>
      </c>
      <c r="H11" s="31">
        <v>0.0</v>
      </c>
      <c r="I11" s="31">
        <v>0.0</v>
      </c>
      <c r="J11" s="31">
        <v>0.0</v>
      </c>
      <c r="K11" s="31">
        <v>0.0</v>
      </c>
      <c r="L11" s="31">
        <v>0.0</v>
      </c>
      <c r="M11" s="31">
        <v>0.0</v>
      </c>
      <c r="N11" s="31">
        <v>0.0</v>
      </c>
      <c r="O11" s="31">
        <v>0.0</v>
      </c>
      <c r="P11" s="31">
        <v>0.0</v>
      </c>
      <c r="Q11" s="31">
        <v>0.0</v>
      </c>
      <c r="R11" s="31">
        <v>0.0</v>
      </c>
      <c r="S11" s="31">
        <v>0.0</v>
      </c>
      <c r="T11" s="31">
        <v>0.0</v>
      </c>
      <c r="U11" s="31">
        <v>0.0</v>
      </c>
      <c r="V11" s="31">
        <v>0.0</v>
      </c>
      <c r="W11" s="31">
        <v>0.0</v>
      </c>
      <c r="X11" s="31">
        <v>0.0</v>
      </c>
      <c r="Y11" s="31">
        <v>0.0</v>
      </c>
      <c r="Z11" s="31">
        <v>0.0</v>
      </c>
      <c r="AA11" s="31">
        <v>0.0</v>
      </c>
      <c r="AB11" s="31">
        <v>0.0</v>
      </c>
      <c r="AC11" s="31">
        <v>0.0</v>
      </c>
      <c r="AD11" s="31">
        <v>2.0</v>
      </c>
      <c r="AE11" s="31">
        <v>1.0</v>
      </c>
      <c r="AF11" s="31">
        <v>0.0</v>
      </c>
      <c r="AG11" s="31">
        <v>0.0</v>
      </c>
      <c r="AH11" s="34">
        <f t="shared" ref="AH11:AH13" si="3">SUM(D11:AG11)</f>
        <v>3</v>
      </c>
    </row>
    <row r="12" ht="15.75" customHeight="1">
      <c r="B12" s="29" t="s">
        <v>61</v>
      </c>
      <c r="C12" s="30">
        <v>4.0</v>
      </c>
      <c r="D12" s="31">
        <v>0.0</v>
      </c>
      <c r="E12" s="31">
        <v>0.0</v>
      </c>
      <c r="F12" s="31">
        <v>0.0</v>
      </c>
      <c r="G12" s="31">
        <v>0.0</v>
      </c>
      <c r="H12" s="31">
        <v>0.0</v>
      </c>
      <c r="I12" s="31">
        <v>0.0</v>
      </c>
      <c r="J12" s="31">
        <v>0.0</v>
      </c>
      <c r="K12" s="31">
        <v>0.0</v>
      </c>
      <c r="L12" s="31">
        <v>0.0</v>
      </c>
      <c r="M12" s="31">
        <v>0.0</v>
      </c>
      <c r="N12" s="31">
        <v>0.0</v>
      </c>
      <c r="O12" s="31">
        <v>0.0</v>
      </c>
      <c r="P12" s="31">
        <v>0.0</v>
      </c>
      <c r="Q12" s="31">
        <v>0.0</v>
      </c>
      <c r="R12" s="31">
        <v>0.0</v>
      </c>
      <c r="S12" s="31">
        <v>0.0</v>
      </c>
      <c r="T12" s="31">
        <v>0.0</v>
      </c>
      <c r="U12" s="31">
        <v>0.0</v>
      </c>
      <c r="V12" s="31">
        <v>0.0</v>
      </c>
      <c r="W12" s="31">
        <v>0.0</v>
      </c>
      <c r="X12" s="31">
        <v>0.0</v>
      </c>
      <c r="Y12" s="31">
        <v>0.0</v>
      </c>
      <c r="Z12" s="31">
        <v>0.0</v>
      </c>
      <c r="AA12" s="31">
        <v>0.0</v>
      </c>
      <c r="AB12" s="31">
        <v>0.0</v>
      </c>
      <c r="AC12" s="31">
        <v>2.0</v>
      </c>
      <c r="AD12" s="31">
        <v>1.0</v>
      </c>
      <c r="AE12" s="31">
        <v>0.0</v>
      </c>
      <c r="AF12" s="31">
        <v>1.0</v>
      </c>
      <c r="AG12" s="31">
        <v>0.0</v>
      </c>
      <c r="AH12" s="34">
        <f t="shared" si="3"/>
        <v>4</v>
      </c>
    </row>
    <row r="13" ht="15.75" customHeight="1">
      <c r="B13" s="29" t="s">
        <v>63</v>
      </c>
      <c r="C13" s="30">
        <v>4.0</v>
      </c>
      <c r="D13" s="31">
        <v>0.0</v>
      </c>
      <c r="E13" s="31">
        <v>0.0</v>
      </c>
      <c r="F13" s="31">
        <v>0.0</v>
      </c>
      <c r="G13" s="31">
        <v>0.0</v>
      </c>
      <c r="H13" s="31">
        <v>0.0</v>
      </c>
      <c r="I13" s="31">
        <v>0.0</v>
      </c>
      <c r="J13" s="31">
        <v>0.0</v>
      </c>
      <c r="K13" s="31">
        <v>0.0</v>
      </c>
      <c r="L13" s="31">
        <v>0.0</v>
      </c>
      <c r="M13" s="31">
        <v>0.0</v>
      </c>
      <c r="N13" s="31">
        <v>0.0</v>
      </c>
      <c r="O13" s="31">
        <v>0.0</v>
      </c>
      <c r="P13" s="31">
        <v>0.0</v>
      </c>
      <c r="Q13" s="31">
        <v>0.0</v>
      </c>
      <c r="R13" s="31">
        <v>0.0</v>
      </c>
      <c r="S13" s="31">
        <v>0.0</v>
      </c>
      <c r="T13" s="31">
        <v>0.0</v>
      </c>
      <c r="U13" s="31">
        <v>0.0</v>
      </c>
      <c r="V13" s="31">
        <v>0.0</v>
      </c>
      <c r="W13" s="31">
        <v>0.0</v>
      </c>
      <c r="X13" s="31">
        <v>0.0</v>
      </c>
      <c r="Y13" s="31">
        <v>0.0</v>
      </c>
      <c r="Z13" s="31">
        <v>1.0</v>
      </c>
      <c r="AA13" s="31">
        <v>0.0</v>
      </c>
      <c r="AB13" s="31">
        <v>0.0</v>
      </c>
      <c r="AC13" s="31">
        <v>1.0</v>
      </c>
      <c r="AD13" s="31">
        <v>0.0</v>
      </c>
      <c r="AE13" s="31">
        <v>1.0</v>
      </c>
      <c r="AF13" s="31">
        <v>1.0</v>
      </c>
      <c r="AG13" s="31">
        <v>0.0</v>
      </c>
      <c r="AH13" s="34">
        <f t="shared" si="3"/>
        <v>4</v>
      </c>
    </row>
    <row r="14" ht="15.75" customHeight="1"/>
    <row r="15" ht="15.75" customHeight="1">
      <c r="B15" s="29" t="s">
        <v>67</v>
      </c>
      <c r="C15" s="30">
        <v>3.0</v>
      </c>
      <c r="D15" s="31">
        <v>0.0</v>
      </c>
      <c r="E15" s="31">
        <v>0.0</v>
      </c>
      <c r="F15" s="31">
        <v>0.0</v>
      </c>
      <c r="G15" s="31">
        <v>0.0</v>
      </c>
      <c r="H15" s="31">
        <v>0.0</v>
      </c>
      <c r="I15" s="31">
        <v>0.0</v>
      </c>
      <c r="J15" s="31">
        <v>0.0</v>
      </c>
      <c r="K15" s="31">
        <v>0.0</v>
      </c>
      <c r="L15" s="31">
        <v>0.0</v>
      </c>
      <c r="M15" s="31">
        <v>0.0</v>
      </c>
      <c r="N15" s="31">
        <v>0.0</v>
      </c>
      <c r="O15" s="31">
        <v>0.0</v>
      </c>
      <c r="P15" s="31">
        <v>0.0</v>
      </c>
      <c r="Q15" s="31">
        <v>0.0</v>
      </c>
      <c r="R15" s="31">
        <v>0.0</v>
      </c>
      <c r="S15" s="31">
        <v>1.0</v>
      </c>
      <c r="T15" s="31">
        <v>0.0</v>
      </c>
      <c r="U15" s="31">
        <v>0.0</v>
      </c>
      <c r="V15" s="31">
        <v>1.0</v>
      </c>
      <c r="W15" s="31">
        <v>0.0</v>
      </c>
      <c r="X15" s="31">
        <v>1.0</v>
      </c>
      <c r="Y15" s="31">
        <v>0.0</v>
      </c>
      <c r="Z15" s="31">
        <v>0.0</v>
      </c>
      <c r="AA15" s="31">
        <v>0.0</v>
      </c>
      <c r="AB15" s="31">
        <v>0.0</v>
      </c>
      <c r="AC15" s="31">
        <v>0.0</v>
      </c>
      <c r="AD15" s="31">
        <v>1.0</v>
      </c>
      <c r="AE15" s="31">
        <v>0.0</v>
      </c>
      <c r="AF15" s="31">
        <v>0.0</v>
      </c>
      <c r="AG15" s="31">
        <v>0.0</v>
      </c>
      <c r="AH15" s="34">
        <f t="shared" ref="AH15:AH16" si="4">SUM(D15:AG15)</f>
        <v>4</v>
      </c>
    </row>
    <row r="16" ht="15.75" customHeight="1">
      <c r="B16" s="29" t="s">
        <v>70</v>
      </c>
      <c r="C16" s="30">
        <v>3.0</v>
      </c>
      <c r="D16" s="31">
        <v>0.0</v>
      </c>
      <c r="E16" s="31">
        <v>0.0</v>
      </c>
      <c r="F16" s="31">
        <v>0.0</v>
      </c>
      <c r="G16" s="31">
        <v>0.0</v>
      </c>
      <c r="H16" s="31">
        <v>0.0</v>
      </c>
      <c r="I16" s="31">
        <v>0.0</v>
      </c>
      <c r="J16" s="31">
        <v>0.0</v>
      </c>
      <c r="K16" s="31">
        <v>0.0</v>
      </c>
      <c r="L16" s="31">
        <v>0.0</v>
      </c>
      <c r="M16" s="31">
        <v>0.0</v>
      </c>
      <c r="N16" s="31">
        <v>0.0</v>
      </c>
      <c r="O16" s="31">
        <v>0.0</v>
      </c>
      <c r="P16" s="31">
        <v>0.0</v>
      </c>
      <c r="Q16" s="31">
        <v>0.0</v>
      </c>
      <c r="R16" s="31">
        <v>1.0</v>
      </c>
      <c r="S16" s="31">
        <v>0.0</v>
      </c>
      <c r="T16" s="31">
        <v>0.0</v>
      </c>
      <c r="U16" s="31">
        <v>1.0</v>
      </c>
      <c r="V16" s="31">
        <v>0.0</v>
      </c>
      <c r="W16" s="31">
        <v>0.0</v>
      </c>
      <c r="X16" s="31">
        <v>1.0</v>
      </c>
      <c r="Y16" s="31">
        <v>0.0</v>
      </c>
      <c r="Z16" s="31">
        <v>0.0</v>
      </c>
      <c r="AA16" s="31">
        <v>0.0</v>
      </c>
      <c r="AB16" s="31">
        <v>0.0</v>
      </c>
      <c r="AC16" s="31">
        <v>0.0</v>
      </c>
      <c r="AD16" s="31">
        <v>0.0</v>
      </c>
      <c r="AE16" s="31">
        <v>0.0</v>
      </c>
      <c r="AF16" s="31">
        <v>0.0</v>
      </c>
      <c r="AG16" s="31">
        <v>0.0</v>
      </c>
      <c r="AH16" s="34">
        <f t="shared" si="4"/>
        <v>3</v>
      </c>
    </row>
    <row r="17" ht="15.75" customHeight="1"/>
    <row r="18" ht="15.75" customHeight="1">
      <c r="B18" s="29" t="s">
        <v>107</v>
      </c>
      <c r="C18" s="30">
        <v>5.0</v>
      </c>
      <c r="D18" s="31">
        <v>0.0</v>
      </c>
      <c r="E18" s="31">
        <v>0.0</v>
      </c>
      <c r="F18" s="31">
        <v>0.0</v>
      </c>
      <c r="G18" s="31">
        <v>0.0</v>
      </c>
      <c r="H18" s="31">
        <v>0.0</v>
      </c>
      <c r="I18" s="31">
        <v>0.0</v>
      </c>
      <c r="J18" s="31">
        <v>0.0</v>
      </c>
      <c r="K18" s="31">
        <v>0.0</v>
      </c>
      <c r="L18" s="31">
        <v>0.0</v>
      </c>
      <c r="M18" s="31">
        <v>0.0</v>
      </c>
      <c r="N18" s="31">
        <v>0.0</v>
      </c>
      <c r="O18" s="31">
        <v>0.0</v>
      </c>
      <c r="P18" s="31">
        <v>1.0</v>
      </c>
      <c r="Q18" s="31">
        <v>1.0</v>
      </c>
      <c r="R18" s="31">
        <v>0.0</v>
      </c>
      <c r="S18" s="31">
        <v>1.0</v>
      </c>
      <c r="T18" s="31">
        <v>0.0</v>
      </c>
      <c r="U18" s="31">
        <v>0.0</v>
      </c>
      <c r="V18" s="31">
        <v>0.0</v>
      </c>
      <c r="W18" s="31">
        <v>0.0</v>
      </c>
      <c r="X18" s="31">
        <v>2.0</v>
      </c>
      <c r="Y18" s="31">
        <v>0.0</v>
      </c>
      <c r="Z18" s="31">
        <v>0.0</v>
      </c>
      <c r="AA18" s="31">
        <v>0.0</v>
      </c>
      <c r="AB18" s="31">
        <v>0.0</v>
      </c>
      <c r="AC18" s="31">
        <v>0.0</v>
      </c>
      <c r="AD18" s="31">
        <v>0.0</v>
      </c>
      <c r="AE18" s="31">
        <v>0.0</v>
      </c>
      <c r="AF18" s="31">
        <v>0.0</v>
      </c>
      <c r="AG18" s="31">
        <v>0.0</v>
      </c>
      <c r="AH18" s="34">
        <f t="shared" ref="AH18:AH19" si="5">SUM(D18:AG18)</f>
        <v>5</v>
      </c>
    </row>
    <row r="19" ht="15.75" customHeight="1">
      <c r="B19" s="29" t="s">
        <v>108</v>
      </c>
      <c r="C19" s="30">
        <v>5.0</v>
      </c>
      <c r="D19" s="31">
        <v>0.0</v>
      </c>
      <c r="E19" s="31">
        <v>0.0</v>
      </c>
      <c r="F19" s="31">
        <v>0.0</v>
      </c>
      <c r="G19" s="31">
        <v>0.0</v>
      </c>
      <c r="H19" s="31">
        <v>0.0</v>
      </c>
      <c r="I19" s="31">
        <v>0.0</v>
      </c>
      <c r="J19" s="31">
        <v>0.0</v>
      </c>
      <c r="K19" s="31">
        <v>0.0</v>
      </c>
      <c r="L19" s="31">
        <v>0.0</v>
      </c>
      <c r="M19" s="31">
        <v>0.0</v>
      </c>
      <c r="N19" s="31">
        <v>0.0</v>
      </c>
      <c r="O19" s="31">
        <v>0.0</v>
      </c>
      <c r="P19" s="31">
        <v>0.0</v>
      </c>
      <c r="Q19" s="31">
        <v>0.0</v>
      </c>
      <c r="R19" s="31">
        <v>2.0</v>
      </c>
      <c r="S19" s="31">
        <v>0.0</v>
      </c>
      <c r="T19" s="31">
        <v>1.0</v>
      </c>
      <c r="U19" s="31">
        <v>0.0</v>
      </c>
      <c r="V19" s="31">
        <v>0.0</v>
      </c>
      <c r="W19" s="31">
        <v>1.0</v>
      </c>
      <c r="X19" s="31">
        <v>1.0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0.0</v>
      </c>
      <c r="AE19" s="31">
        <v>0.0</v>
      </c>
      <c r="AF19" s="31">
        <v>0.0</v>
      </c>
      <c r="AG19" s="31">
        <v>0.0</v>
      </c>
      <c r="AH19" s="34">
        <f t="shared" si="5"/>
        <v>5</v>
      </c>
    </row>
    <row r="20" ht="15.75" customHeight="1"/>
    <row r="21" ht="15.75" customHeight="1">
      <c r="B21" s="29" t="s">
        <v>109</v>
      </c>
      <c r="C21" s="30">
        <v>4.0</v>
      </c>
      <c r="D21" s="31">
        <v>0.0</v>
      </c>
      <c r="E21" s="31">
        <v>0.0</v>
      </c>
      <c r="F21" s="31">
        <v>0.0</v>
      </c>
      <c r="G21" s="31">
        <v>0.0</v>
      </c>
      <c r="H21" s="31">
        <v>0.0</v>
      </c>
      <c r="I21" s="31">
        <v>0.0</v>
      </c>
      <c r="J21" s="31">
        <v>0.0</v>
      </c>
      <c r="K21" s="31">
        <v>0.0</v>
      </c>
      <c r="L21" s="31">
        <v>0.0</v>
      </c>
      <c r="M21" s="31">
        <v>0.0</v>
      </c>
      <c r="N21" s="31">
        <v>0.0</v>
      </c>
      <c r="O21" s="31">
        <v>1.0</v>
      </c>
      <c r="P21" s="31">
        <v>0.0</v>
      </c>
      <c r="Q21" s="31">
        <v>0.0</v>
      </c>
      <c r="R21" s="31">
        <v>0.0</v>
      </c>
      <c r="S21" s="31">
        <v>0.0</v>
      </c>
      <c r="T21" s="31">
        <v>0.0</v>
      </c>
      <c r="U21" s="31">
        <v>0.0</v>
      </c>
      <c r="V21" s="31">
        <v>2.0</v>
      </c>
      <c r="W21" s="31">
        <v>0.0</v>
      </c>
      <c r="X21" s="31">
        <v>0.0</v>
      </c>
      <c r="Y21" s="31">
        <v>1.0</v>
      </c>
      <c r="Z21" s="31">
        <v>0.0</v>
      </c>
      <c r="AA21" s="31">
        <v>0.0</v>
      </c>
      <c r="AB21" s="31">
        <v>0.0</v>
      </c>
      <c r="AC21" s="31">
        <v>0.0</v>
      </c>
      <c r="AD21" s="31">
        <v>0.0</v>
      </c>
      <c r="AE21" s="31">
        <v>0.0</v>
      </c>
      <c r="AF21" s="31">
        <v>0.0</v>
      </c>
      <c r="AG21" s="31">
        <v>0.0</v>
      </c>
      <c r="AH21" s="34">
        <f>SUM(D21:AG21)</f>
        <v>4</v>
      </c>
    </row>
    <row r="22" ht="15.75" customHeight="1">
      <c r="AH22" s="31"/>
    </row>
    <row r="23" ht="15.75" customHeight="1">
      <c r="B23" s="29" t="s">
        <v>110</v>
      </c>
      <c r="C23" s="30">
        <v>4.0</v>
      </c>
      <c r="D23" s="31">
        <v>0.0</v>
      </c>
      <c r="E23" s="31">
        <v>0.0</v>
      </c>
      <c r="F23" s="31">
        <v>0.0</v>
      </c>
      <c r="G23" s="31">
        <v>0.0</v>
      </c>
      <c r="H23" s="31">
        <v>0.0</v>
      </c>
      <c r="I23" s="31">
        <v>4.0</v>
      </c>
      <c r="J23" s="31">
        <v>4.0</v>
      </c>
      <c r="K23" s="31">
        <v>0.0</v>
      </c>
      <c r="L23" s="31">
        <v>0.0</v>
      </c>
      <c r="M23" s="31">
        <v>0.0</v>
      </c>
      <c r="N23" s="31">
        <v>0.0</v>
      </c>
      <c r="O23" s="31">
        <v>0.0</v>
      </c>
      <c r="P23" s="31">
        <v>0.0</v>
      </c>
      <c r="Q23" s="31">
        <v>0.0</v>
      </c>
      <c r="R23" s="31">
        <v>0.0</v>
      </c>
      <c r="S23" s="31">
        <v>0.0</v>
      </c>
      <c r="T23" s="31">
        <v>0.0</v>
      </c>
      <c r="U23" s="31">
        <v>0.0</v>
      </c>
      <c r="V23" s="31">
        <v>0.0</v>
      </c>
      <c r="W23" s="31">
        <v>0.0</v>
      </c>
      <c r="X23" s="31">
        <v>0.0</v>
      </c>
      <c r="Y23" s="31">
        <v>0.0</v>
      </c>
      <c r="Z23" s="31">
        <v>0.0</v>
      </c>
      <c r="AA23" s="31">
        <v>0.0</v>
      </c>
      <c r="AB23" s="31">
        <v>0.0</v>
      </c>
      <c r="AC23" s="31">
        <v>0.0</v>
      </c>
      <c r="AD23" s="31">
        <v>0.0</v>
      </c>
      <c r="AE23" s="31">
        <v>0.0</v>
      </c>
      <c r="AF23" s="31">
        <v>0.0</v>
      </c>
      <c r="AG23" s="31">
        <v>0.0</v>
      </c>
      <c r="AH23" s="34">
        <f t="shared" ref="AH23:AH24" si="6">SUM(D23:AG23)</f>
        <v>8</v>
      </c>
    </row>
    <row r="24" ht="15.75" customHeight="1">
      <c r="B24" s="29" t="s">
        <v>111</v>
      </c>
      <c r="C24" s="30">
        <v>4.0</v>
      </c>
      <c r="D24" s="35">
        <v>0.0</v>
      </c>
      <c r="E24" s="35">
        <v>0.0</v>
      </c>
      <c r="F24" s="35">
        <v>0.0</v>
      </c>
      <c r="G24" s="35">
        <v>0.0</v>
      </c>
      <c r="H24" s="35">
        <v>0.0</v>
      </c>
      <c r="I24" s="35">
        <v>0.0</v>
      </c>
      <c r="J24" s="35">
        <v>0.0</v>
      </c>
      <c r="K24" s="35">
        <v>4.0</v>
      </c>
      <c r="L24" s="35">
        <v>4.0</v>
      </c>
      <c r="M24" s="35">
        <v>0.0</v>
      </c>
      <c r="N24" s="35">
        <v>0.0</v>
      </c>
      <c r="O24" s="35">
        <v>0.0</v>
      </c>
      <c r="P24" s="35">
        <v>0.0</v>
      </c>
      <c r="Q24" s="35">
        <v>0.0</v>
      </c>
      <c r="R24" s="35">
        <v>0.0</v>
      </c>
      <c r="S24" s="35">
        <v>0.0</v>
      </c>
      <c r="T24" s="35">
        <v>0.0</v>
      </c>
      <c r="U24" s="35">
        <v>0.0</v>
      </c>
      <c r="V24" s="35">
        <v>0.0</v>
      </c>
      <c r="W24" s="35">
        <v>0.0</v>
      </c>
      <c r="X24" s="35">
        <v>0.0</v>
      </c>
      <c r="Y24" s="35">
        <v>0.0</v>
      </c>
      <c r="Z24" s="35">
        <v>0.0</v>
      </c>
      <c r="AA24" s="35">
        <v>0.0</v>
      </c>
      <c r="AB24" s="35">
        <v>0.0</v>
      </c>
      <c r="AC24" s="35">
        <v>0.0</v>
      </c>
      <c r="AD24" s="35">
        <v>0.0</v>
      </c>
      <c r="AE24" s="35">
        <v>0.0</v>
      </c>
      <c r="AF24" s="35">
        <v>0.0</v>
      </c>
      <c r="AG24" s="35">
        <v>0.0</v>
      </c>
      <c r="AH24" s="34">
        <f t="shared" si="6"/>
        <v>8</v>
      </c>
    </row>
    <row r="25" ht="15.75" customHeight="1">
      <c r="AH25" s="31"/>
    </row>
    <row r="26" ht="15.75" customHeight="1">
      <c r="B26" s="29" t="s">
        <v>112</v>
      </c>
      <c r="C26" s="30">
        <v>4.0</v>
      </c>
      <c r="D26" s="35">
        <v>0.0</v>
      </c>
      <c r="E26" s="35">
        <v>0.0</v>
      </c>
      <c r="F26" s="35">
        <v>0.0</v>
      </c>
      <c r="G26" s="35">
        <v>0.0</v>
      </c>
      <c r="H26" s="35">
        <v>0.0</v>
      </c>
      <c r="I26" s="35">
        <v>0.0</v>
      </c>
      <c r="J26" s="35">
        <v>0.0</v>
      </c>
      <c r="K26" s="35">
        <v>0.0</v>
      </c>
      <c r="L26" s="35">
        <v>0.0</v>
      </c>
      <c r="M26" s="35">
        <v>4.0</v>
      </c>
      <c r="N26" s="35">
        <v>4.0</v>
      </c>
      <c r="O26" s="35">
        <v>0.0</v>
      </c>
      <c r="P26" s="35">
        <v>0.0</v>
      </c>
      <c r="Q26" s="35">
        <v>0.0</v>
      </c>
      <c r="R26" s="35">
        <v>0.0</v>
      </c>
      <c r="S26" s="35">
        <v>0.0</v>
      </c>
      <c r="T26" s="35">
        <v>0.0</v>
      </c>
      <c r="U26" s="35">
        <v>0.0</v>
      </c>
      <c r="V26" s="35">
        <v>0.0</v>
      </c>
      <c r="W26" s="35">
        <v>0.0</v>
      </c>
      <c r="X26" s="35">
        <v>0.0</v>
      </c>
      <c r="Y26" s="35">
        <v>0.0</v>
      </c>
      <c r="Z26" s="35">
        <v>0.0</v>
      </c>
      <c r="AA26" s="35">
        <v>0.0</v>
      </c>
      <c r="AB26" s="35">
        <v>0.0</v>
      </c>
      <c r="AC26" s="35">
        <v>0.0</v>
      </c>
      <c r="AD26" s="35">
        <v>0.0</v>
      </c>
      <c r="AE26" s="35">
        <v>0.0</v>
      </c>
      <c r="AF26" s="35">
        <v>0.0</v>
      </c>
      <c r="AG26" s="35">
        <v>0.0</v>
      </c>
      <c r="AH26" s="34">
        <f>SUM(D26:AG26)</f>
        <v>8</v>
      </c>
    </row>
    <row r="27" ht="15.75" customHeight="1">
      <c r="AH27" s="31"/>
    </row>
    <row r="28" ht="15.75" customHeight="1">
      <c r="B28" s="36" t="s">
        <v>113</v>
      </c>
      <c r="C28" s="35">
        <f>SUM(C4:C26)</f>
        <v>65</v>
      </c>
      <c r="D28" s="27">
        <f t="shared" ref="D28:AG28" si="7">C28-SUM(D4:D6,D8:D9,D11:D13,D15:D16, D18:D19, D21, D23,D24,D26)</f>
        <v>65</v>
      </c>
      <c r="E28" s="27">
        <f t="shared" si="7"/>
        <v>65</v>
      </c>
      <c r="F28" s="27">
        <f t="shared" si="7"/>
        <v>65</v>
      </c>
      <c r="G28" s="27">
        <f t="shared" si="7"/>
        <v>65</v>
      </c>
      <c r="H28" s="27">
        <f t="shared" si="7"/>
        <v>65</v>
      </c>
      <c r="I28" s="27">
        <f t="shared" si="7"/>
        <v>61</v>
      </c>
      <c r="J28" s="27">
        <f t="shared" si="7"/>
        <v>57</v>
      </c>
      <c r="K28" s="27">
        <f t="shared" si="7"/>
        <v>53</v>
      </c>
      <c r="L28" s="27">
        <f t="shared" si="7"/>
        <v>49</v>
      </c>
      <c r="M28" s="27">
        <f t="shared" si="7"/>
        <v>45</v>
      </c>
      <c r="N28" s="27">
        <f t="shared" si="7"/>
        <v>41</v>
      </c>
      <c r="O28" s="27">
        <f t="shared" si="7"/>
        <v>40</v>
      </c>
      <c r="P28" s="27">
        <f t="shared" si="7"/>
        <v>39</v>
      </c>
      <c r="Q28" s="27">
        <f t="shared" si="7"/>
        <v>38</v>
      </c>
      <c r="R28" s="27">
        <f t="shared" si="7"/>
        <v>35</v>
      </c>
      <c r="S28" s="27">
        <f t="shared" si="7"/>
        <v>33</v>
      </c>
      <c r="T28" s="27">
        <f t="shared" si="7"/>
        <v>32</v>
      </c>
      <c r="U28" s="27">
        <f t="shared" si="7"/>
        <v>31</v>
      </c>
      <c r="V28" s="27">
        <f t="shared" si="7"/>
        <v>28</v>
      </c>
      <c r="W28" s="27">
        <f t="shared" si="7"/>
        <v>27</v>
      </c>
      <c r="X28" s="27">
        <f t="shared" si="7"/>
        <v>22</v>
      </c>
      <c r="Y28" s="27">
        <f t="shared" si="7"/>
        <v>19</v>
      </c>
      <c r="Z28" s="27">
        <f t="shared" si="7"/>
        <v>16</v>
      </c>
      <c r="AA28" s="27">
        <f t="shared" si="7"/>
        <v>12</v>
      </c>
      <c r="AB28" s="27">
        <f t="shared" si="7"/>
        <v>10</v>
      </c>
      <c r="AC28" s="27">
        <f t="shared" si="7"/>
        <v>3</v>
      </c>
      <c r="AD28" s="27">
        <f t="shared" si="7"/>
        <v>-3</v>
      </c>
      <c r="AE28" s="27">
        <f t="shared" si="7"/>
        <v>-8</v>
      </c>
      <c r="AF28" s="27">
        <f t="shared" si="7"/>
        <v>-13</v>
      </c>
      <c r="AG28" s="27">
        <f t="shared" si="7"/>
        <v>-13</v>
      </c>
      <c r="AH28" s="34">
        <f t="shared" ref="AH28:AH29" si="9">SUM(D28:AG28)</f>
        <v>979</v>
      </c>
    </row>
    <row r="29" ht="15.75" customHeight="1">
      <c r="B29" s="36" t="s">
        <v>114</v>
      </c>
      <c r="C29" s="35">
        <f>SUM(C4:C26)</f>
        <v>65</v>
      </c>
      <c r="D29" s="37">
        <f t="shared" ref="D29:AG29" si="8">C29-(SUM($C$4:$C$6,$C$8:$C$9,$C$11:$C$13,$C$15:$C$16,$C$18:$C$19:$C$21,$C23:$C24, $C26)/30)</f>
        <v>62.83333333</v>
      </c>
      <c r="E29" s="37">
        <f t="shared" si="8"/>
        <v>60.66666667</v>
      </c>
      <c r="F29" s="37">
        <f t="shared" si="8"/>
        <v>58.5</v>
      </c>
      <c r="G29" s="37">
        <f t="shared" si="8"/>
        <v>56.33333333</v>
      </c>
      <c r="H29" s="37">
        <f t="shared" si="8"/>
        <v>54.16666667</v>
      </c>
      <c r="I29" s="37">
        <f t="shared" si="8"/>
        <v>52</v>
      </c>
      <c r="J29" s="37">
        <f t="shared" si="8"/>
        <v>49.83333333</v>
      </c>
      <c r="K29" s="37">
        <f t="shared" si="8"/>
        <v>47.66666667</v>
      </c>
      <c r="L29" s="37">
        <f t="shared" si="8"/>
        <v>45.5</v>
      </c>
      <c r="M29" s="37">
        <f t="shared" si="8"/>
        <v>43.33333333</v>
      </c>
      <c r="N29" s="37">
        <f t="shared" si="8"/>
        <v>41.16666667</v>
      </c>
      <c r="O29" s="37">
        <f t="shared" si="8"/>
        <v>39</v>
      </c>
      <c r="P29" s="37">
        <f t="shared" si="8"/>
        <v>36.83333333</v>
      </c>
      <c r="Q29" s="37">
        <f t="shared" si="8"/>
        <v>34.66666667</v>
      </c>
      <c r="R29" s="37">
        <f t="shared" si="8"/>
        <v>32.5</v>
      </c>
      <c r="S29" s="37">
        <f t="shared" si="8"/>
        <v>30.33333333</v>
      </c>
      <c r="T29" s="37">
        <f t="shared" si="8"/>
        <v>28.16666667</v>
      </c>
      <c r="U29" s="37">
        <f t="shared" si="8"/>
        <v>26</v>
      </c>
      <c r="V29" s="37">
        <f t="shared" si="8"/>
        <v>23.83333333</v>
      </c>
      <c r="W29" s="37">
        <f t="shared" si="8"/>
        <v>21.66666667</v>
      </c>
      <c r="X29" s="37">
        <f t="shared" si="8"/>
        <v>19.5</v>
      </c>
      <c r="Y29" s="37">
        <f t="shared" si="8"/>
        <v>17.33333333</v>
      </c>
      <c r="Z29" s="37">
        <f t="shared" si="8"/>
        <v>15.16666667</v>
      </c>
      <c r="AA29" s="37">
        <f t="shared" si="8"/>
        <v>13</v>
      </c>
      <c r="AB29" s="37">
        <f t="shared" si="8"/>
        <v>10.83333333</v>
      </c>
      <c r="AC29" s="37">
        <f t="shared" si="8"/>
        <v>8.666666667</v>
      </c>
      <c r="AD29" s="37">
        <f t="shared" si="8"/>
        <v>6.5</v>
      </c>
      <c r="AE29" s="37">
        <f t="shared" si="8"/>
        <v>4.333333333</v>
      </c>
      <c r="AF29" s="37">
        <f t="shared" si="8"/>
        <v>2.166666667</v>
      </c>
      <c r="AG29" s="37">
        <f t="shared" si="8"/>
        <v>0</v>
      </c>
      <c r="AH29" s="38">
        <f t="shared" si="9"/>
        <v>942.5</v>
      </c>
    </row>
    <row r="30" ht="15.75" customHeight="1"/>
    <row r="31" ht="15.75" customHeight="1"/>
    <row r="32" ht="15.75" customHeight="1"/>
    <row r="33" ht="15.75" customHeight="1">
      <c r="B33" s="27"/>
      <c r="C33" s="27"/>
      <c r="D33" s="27"/>
      <c r="E33" s="27"/>
      <c r="F33" s="27"/>
      <c r="G33" s="27"/>
      <c r="H33" s="27"/>
      <c r="I33" s="39"/>
    </row>
    <row r="34" ht="15.75" customHeight="1">
      <c r="B34" s="39"/>
      <c r="C34" s="39"/>
      <c r="D34" s="39"/>
      <c r="E34" s="39"/>
      <c r="F34" s="39"/>
      <c r="G34" s="39"/>
      <c r="H34" s="39"/>
      <c r="I34" s="39"/>
    </row>
    <row r="35" ht="15.75" customHeight="1">
      <c r="B35" s="27"/>
      <c r="C35" s="27"/>
      <c r="D35" s="27"/>
      <c r="E35" s="27"/>
      <c r="F35" s="27"/>
      <c r="G35" s="27"/>
      <c r="H35" s="27"/>
      <c r="I35" s="39"/>
    </row>
    <row r="36" ht="15.75" customHeight="1">
      <c r="B36" s="27"/>
      <c r="C36" s="27"/>
      <c r="D36" s="27"/>
      <c r="E36" s="27"/>
      <c r="F36" s="27"/>
      <c r="G36" s="27"/>
      <c r="H36" s="27"/>
      <c r="I36" s="39"/>
    </row>
    <row r="37" ht="15.75" customHeight="1"/>
    <row r="38" ht="15.75" customHeight="1">
      <c r="B38" s="40"/>
      <c r="C38" s="40"/>
      <c r="D38" s="40"/>
      <c r="E38" s="40"/>
      <c r="F38" s="40"/>
      <c r="G38" s="40"/>
    </row>
    <row r="39" ht="15.75" customHeight="1">
      <c r="B39" s="40"/>
      <c r="C39" s="40"/>
      <c r="D39" s="40"/>
      <c r="E39" s="40"/>
      <c r="F39" s="40"/>
      <c r="G39" s="40"/>
    </row>
    <row r="40" ht="15.75" customHeight="1">
      <c r="B40" s="40"/>
      <c r="C40" s="40"/>
      <c r="D40" s="40"/>
      <c r="E40" s="40"/>
      <c r="F40" s="40"/>
      <c r="G40" s="40"/>
    </row>
    <row r="41" ht="15.75" customHeight="1">
      <c r="B41" s="40"/>
      <c r="C41" s="40"/>
      <c r="D41" s="40"/>
      <c r="E41" s="40"/>
      <c r="F41" s="40"/>
      <c r="G41" s="40"/>
    </row>
    <row r="42" ht="15.75" customHeight="1">
      <c r="B42" s="40"/>
      <c r="C42" s="40"/>
      <c r="D42" s="40"/>
      <c r="E42" s="40"/>
      <c r="F42" s="40"/>
      <c r="G42" s="40"/>
    </row>
    <row r="43" ht="15.75" customHeight="1">
      <c r="B43" s="40"/>
      <c r="C43" s="40"/>
      <c r="D43" s="40"/>
      <c r="E43" s="40"/>
      <c r="F43" s="40"/>
      <c r="G43" s="40"/>
    </row>
    <row r="44" ht="15.75" customHeight="1">
      <c r="B44" s="40"/>
      <c r="C44" s="40"/>
      <c r="D44" s="40"/>
      <c r="E44" s="40"/>
      <c r="F44" s="40"/>
      <c r="G44" s="40"/>
    </row>
    <row r="45" ht="15.75" customHeight="1">
      <c r="B45" s="40"/>
      <c r="C45" s="40"/>
      <c r="D45" s="40"/>
      <c r="E45" s="40"/>
      <c r="F45" s="40"/>
      <c r="G45" s="4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